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값" sheetId="1" state="visible" r:id="rId3"/>
    <sheet name="일터 효율" sheetId="2" state="visible" r:id="rId4"/>
    <sheet name="하루 시뮬레이션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<sst xmlns="http://schemas.openxmlformats.org/spreadsheetml/2006/main" count="183" uniqueCount="156">
  <si>
    <r>
      <rPr>
        <b val="true"/>
        <sz val="14"/>
        <rFont val="Noto Sans CJK SC"/>
        <family val="2"/>
      </rPr>
      <t xml:space="preserve">고양이가 인간을 키움 — 밸런스 초안 </t>
    </r>
    <r>
      <rPr>
        <b val="true"/>
        <sz val="14"/>
        <rFont val="Arial"/>
        <family val="0"/>
        <charset val="1"/>
      </rPr>
      <t xml:space="preserve">v0.1</t>
    </r>
  </si>
  <si>
    <r>
      <rPr>
        <i val="true"/>
        <sz val="11"/>
        <color rgb="FF666666"/>
        <rFont val="Noto Sans CJK SC"/>
        <family val="2"/>
      </rPr>
      <t xml:space="preserve">파란 글씨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바꿔도 되는 숫자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여기만 고치면 </t>
    </r>
    <r>
      <rPr>
        <i val="true"/>
        <sz val="11"/>
        <color rgb="FF666666"/>
        <rFont val="Arial"/>
        <family val="0"/>
        <charset val="1"/>
      </rPr>
      <t xml:space="preserve">'</t>
    </r>
    <r>
      <rPr>
        <i val="true"/>
        <sz val="11"/>
        <color rgb="FF666666"/>
        <rFont val="Noto Sans CJK SC"/>
        <family val="2"/>
      </rPr>
      <t xml:space="preserve">일터 효율</t>
    </r>
    <r>
      <rPr>
        <i val="true"/>
        <sz val="11"/>
        <color rgb="FF666666"/>
        <rFont val="Arial"/>
        <family val="0"/>
        <charset val="1"/>
      </rPr>
      <t xml:space="preserve">', '</t>
    </r>
    <r>
      <rPr>
        <i val="true"/>
        <sz val="11"/>
        <color rgb="FF666666"/>
        <rFont val="Noto Sans CJK SC"/>
        <family val="2"/>
      </rPr>
      <t xml:space="preserve">하루 시뮬레이션</t>
    </r>
    <r>
      <rPr>
        <i val="true"/>
        <sz val="11"/>
        <color rgb="FF666666"/>
        <rFont val="Arial"/>
        <family val="0"/>
        <charset val="1"/>
      </rPr>
      <t xml:space="preserve">' </t>
    </r>
    <r>
      <rPr>
        <i val="true"/>
        <sz val="11"/>
        <color rgb="FF666666"/>
        <rFont val="Noto Sans CJK SC"/>
        <family val="2"/>
      </rPr>
      <t xml:space="preserve">시트가 자동으로 다시 계산됩니다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모든 숫자는 테스트용 초안</t>
    </r>
    <r>
      <rPr>
        <i val="true"/>
        <sz val="11"/>
        <color rgb="FF666666"/>
        <rFont val="Arial"/>
        <family val="0"/>
        <charset val="1"/>
      </rPr>
      <t xml:space="preserve">(Claude </t>
    </r>
    <r>
      <rPr>
        <i val="true"/>
        <sz val="11"/>
        <color rgb="FF666666"/>
        <rFont val="Noto Sans CJK SC"/>
        <family val="2"/>
      </rPr>
      <t xml:space="preserve">제안</t>
    </r>
    <r>
      <rPr>
        <i val="true"/>
        <sz val="11"/>
        <color rgb="FF666666"/>
        <rFont val="Arial"/>
        <family val="0"/>
        <charset val="1"/>
      </rPr>
      <t xml:space="preserve">)</t>
    </r>
    <r>
      <rPr>
        <i val="true"/>
        <sz val="11"/>
        <color rgb="FF666666"/>
        <rFont val="Noto Sans CJK SC"/>
        <family val="2"/>
      </rPr>
      <t xml:space="preserve">이며 프로토타입으로 조정 예정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</si>
  <si>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① 일터</t>
  </si>
  <si>
    <t xml:space="preserve">일터</t>
  </si>
  <si>
    <r>
      <rPr>
        <b val="true"/>
        <sz val="11"/>
        <color rgb="FFFFFFFF"/>
        <rFont val="Noto Sans CJK SC"/>
        <family val="2"/>
      </rPr>
      <t xml:space="preserve">근무 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</si>
  <si>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기본 츄르</t>
    </r>
    <r>
      <rPr>
        <b val="true"/>
        <sz val="11"/>
        <color rgb="FFFFFFFF"/>
        <rFont val="Arial"/>
        <family val="0"/>
        <charset val="1"/>
      </rPr>
      <t xml:space="preserve">(1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</si>
  <si>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피로 증가</t>
    </r>
    <r>
      <rPr>
        <b val="true"/>
        <sz val="11"/>
        <color rgb="FFFFFFFF"/>
        <rFont val="Arial"/>
        <family val="0"/>
        <charset val="1"/>
      </rPr>
      <t xml:space="preserve">(1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</si>
  <si>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시작 자리 수</t>
  </si>
  <si>
    <t xml:space="preserve">메모</t>
  </si>
  <si>
    <t xml:space="preserve">편의점</t>
  </si>
  <si>
    <t xml:space="preserve">자주 켜는 사람용</t>
  </si>
  <si>
    <t xml:space="preserve">회사</t>
  </si>
  <si>
    <r>
      <rPr>
        <sz val="11"/>
        <rFont val="Noto Sans CJK SC"/>
        <family val="2"/>
      </rPr>
      <t xml:space="preserve">점심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퇴근길용</t>
    </r>
  </si>
  <si>
    <t xml:space="preserve">공사장</t>
  </si>
  <si>
    <r>
      <rPr>
        <sz val="11"/>
        <rFont val="Noto Sans CJK SC"/>
        <family val="2"/>
      </rPr>
      <t xml:space="preserve">자기 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출근 전용</t>
    </r>
  </si>
  <si>
    <t xml:space="preserve">② 집사 공통 규칙</t>
  </si>
  <si>
    <t xml:space="preserve">항목</t>
  </si>
  <si>
    <t xml:space="preserve">값</t>
  </si>
  <si>
    <t xml:space="preserve">설명</t>
  </si>
  <si>
    <t xml:space="preserve">적성 보너스</t>
  </si>
  <si>
    <r>
      <rPr>
        <sz val="11"/>
        <rFont val="Noto Sans CJK SC"/>
        <family val="2"/>
      </rPr>
      <t xml:space="preserve">맞는 일터에 보내면 수입 </t>
    </r>
    <r>
      <rPr>
        <sz val="11"/>
        <rFont val="Arial"/>
        <family val="0"/>
        <charset val="1"/>
      </rPr>
      <t xml:space="preserve">+50% (</t>
    </r>
    <r>
      <rPr>
        <sz val="11"/>
        <rFont val="Noto Sans CJK SC"/>
        <family val="2"/>
      </rPr>
      <t xml:space="preserve">기획서</t>
    </r>
    <r>
      <rPr>
        <sz val="11"/>
        <rFont val="Arial"/>
        <family val="0"/>
        <charset val="1"/>
      </rPr>
      <t xml:space="preserve">)</t>
    </r>
  </si>
  <si>
    <t xml:space="preserve">피로 상한</t>
  </si>
  <si>
    <r>
      <rPr>
        <sz val="11"/>
        <rFont val="Noto Sans CJK SC"/>
        <family val="2"/>
      </rPr>
      <t xml:space="preserve">피로도 </t>
    </r>
    <r>
      <rPr>
        <sz val="11"/>
        <rFont val="Arial"/>
        <family val="0"/>
        <charset val="1"/>
      </rPr>
      <t xml:space="preserve">0~100</t>
    </r>
  </si>
  <si>
    <t xml:space="preserve">효율 저하 시작 피로</t>
  </si>
  <si>
    <t xml:space="preserve">이 이상이면 수입 감소</t>
  </si>
  <si>
    <t xml:space="preserve">효율 저하 비율</t>
  </si>
  <si>
    <r>
      <rPr>
        <sz val="11"/>
        <rFont val="Noto Sans CJK SC"/>
        <family val="2"/>
      </rPr>
      <t xml:space="preserve">피로 </t>
    </r>
    <r>
      <rPr>
        <sz val="11"/>
        <rFont val="Arial"/>
        <family val="0"/>
        <charset val="1"/>
      </rPr>
      <t xml:space="preserve">70 </t>
    </r>
    <r>
      <rPr>
        <sz val="11"/>
        <rFont val="Noto Sans CJK SC"/>
        <family val="2"/>
      </rPr>
      <t xml:space="preserve">이상일 때 수입 </t>
    </r>
    <r>
      <rPr>
        <sz val="11"/>
        <rFont val="Arial"/>
        <family val="0"/>
        <charset val="1"/>
      </rPr>
      <t xml:space="preserve">-30%</t>
    </r>
  </si>
  <si>
    <t xml:space="preserve">출근 거부 피로</t>
  </si>
  <si>
    <t xml:space="preserve">이 이상이면 일터 배치 불가</t>
  </si>
  <si>
    <r>
      <rPr>
        <sz val="11"/>
        <rFont val="Noto Sans CJK SC"/>
        <family val="2"/>
      </rPr>
      <t xml:space="preserve">자연 회복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시간당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집에 있을 때</t>
    </r>
    <r>
      <rPr>
        <sz val="11"/>
        <rFont val="Arial"/>
        <family val="0"/>
        <charset val="1"/>
      </rPr>
      <t xml:space="preserve">)</t>
    </r>
  </si>
  <si>
    <t xml:space="preserve">근무 중에는 회복 없음</t>
  </si>
  <si>
    <t xml:space="preserve">호감도 상한</t>
  </si>
  <si>
    <t xml:space="preserve">호감도 단계 간격</t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</si>
  <si>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마다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단계 → 냄새 노트 한 줄 해금</t>
    </r>
  </si>
  <si>
    <t xml:space="preserve">호감도 단계당 수입 보너스</t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</si>
  <si>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단계 </t>
    </r>
    <r>
      <rPr>
        <sz val="11"/>
        <rFont val="Arial"/>
        <family val="0"/>
        <charset val="1"/>
      </rPr>
      <t xml:space="preserve">= +25%</t>
    </r>
  </si>
  <si>
    <t xml:space="preserve">쓰다듬기 호감도</t>
  </si>
  <si>
    <r>
      <rPr>
        <sz val="11"/>
        <rFont val="Noto Sans CJK SC"/>
        <family val="2"/>
      </rPr>
      <t xml:space="preserve">집사당 하루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회까지</t>
    </r>
  </si>
  <si>
    <t xml:space="preserve">쓰다듬기 하루 횟수</t>
  </si>
  <si>
    <t xml:space="preserve">③ 꾹꾹이 미니게임</t>
  </si>
  <si>
    <t xml:space="preserve">결과</t>
  </si>
  <si>
    <t xml:space="preserve">판정 정확도 이상</t>
  </si>
  <si>
    <t xml:space="preserve">피로 회복</t>
  </si>
  <si>
    <t xml:space="preserve">호감도</t>
  </si>
  <si>
    <t xml:space="preserve">보너스 츄르</t>
  </si>
  <si>
    <t xml:space="preserve">적당히</t>
  </si>
  <si>
    <t xml:space="preserve">실패 없음 — 최소 보상</t>
  </si>
  <si>
    <t xml:space="preserve">잘함</t>
  </si>
  <si>
    <t xml:space="preserve">완벽</t>
  </si>
  <si>
    <r>
      <rPr>
        <sz val="11"/>
        <rFont val="Noto Sans CJK SC"/>
        <family val="2"/>
      </rPr>
      <t xml:space="preserve">피로 전부 회복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녹아내림 연출</t>
    </r>
  </si>
  <si>
    <t xml:space="preserve">박자 설정</t>
  </si>
  <si>
    <r>
      <rPr>
        <sz val="11"/>
        <rFont val="Noto Sans CJK SC"/>
        <family val="2"/>
      </rPr>
      <t xml:space="preserve">게임 길이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</si>
  <si>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t xml:space="preserve">기획서</t>
  </si>
  <si>
    <r>
      <rPr>
        <sz val="11"/>
        <rFont val="Noto Sans CJK SC"/>
        <family val="2"/>
      </rPr>
      <t xml:space="preserve">박자 간격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</si>
  <si>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꾹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꾹 한 번 </t>
    </r>
    <r>
      <rPr>
        <sz val="11"/>
        <rFont val="Arial"/>
        <family val="0"/>
        <charset val="1"/>
      </rPr>
      <t xml:space="preserve">= 0.6</t>
    </r>
    <r>
      <rPr>
        <sz val="11"/>
        <rFont val="Noto Sans CJK SC"/>
        <family val="2"/>
      </rPr>
      <t xml:space="preserve">초 </t>
    </r>
    <r>
      <rPr>
        <sz val="11"/>
        <rFont val="Arial"/>
        <family val="0"/>
        <charset val="1"/>
      </rPr>
      <t xml:space="preserve">(BPM 100)</t>
    </r>
  </si>
  <si>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정확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판정 범위</t>
    </r>
    <r>
      <rPr>
        <sz val="11"/>
        <rFont val="Arial"/>
        <family val="0"/>
        <charset val="1"/>
      </rPr>
      <t xml:space="preserve">(±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</si>
  <si>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t xml:space="preserve">이 안에 누르면 정확</t>
  </si>
  <si>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좋음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판정 범위</t>
    </r>
    <r>
      <rPr>
        <sz val="11"/>
        <rFont val="Arial"/>
        <family val="0"/>
        <charset val="1"/>
      </rPr>
      <t xml:space="preserve">(±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</si>
  <si>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정확</t>
    </r>
    <r>
      <rPr>
        <sz val="11"/>
        <rFont val="Arial"/>
        <family val="0"/>
        <charset val="1"/>
      </rPr>
      <t xml:space="preserve">=1</t>
    </r>
    <r>
      <rPr>
        <sz val="11"/>
        <rFont val="Noto Sans CJK SC"/>
        <family val="2"/>
      </rPr>
      <t xml:space="preserve">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좋음</t>
    </r>
    <r>
      <rPr>
        <sz val="11"/>
        <rFont val="Arial"/>
        <family val="0"/>
        <charset val="1"/>
      </rPr>
      <t xml:space="preserve">=0.5</t>
    </r>
    <r>
      <rPr>
        <sz val="11"/>
        <rFont val="Noto Sans CJK SC"/>
        <family val="2"/>
      </rPr>
      <t xml:space="preserve">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그 밖</t>
    </r>
    <r>
      <rPr>
        <sz val="11"/>
        <rFont val="Arial"/>
        <family val="0"/>
        <charset val="1"/>
      </rPr>
      <t xml:space="preserve">=0</t>
    </r>
    <r>
      <rPr>
        <sz val="11"/>
        <rFont val="Noto Sans CJK SC"/>
        <family val="2"/>
      </rPr>
      <t xml:space="preserve">점</t>
    </r>
  </si>
  <si>
    <t xml:space="preserve">총 박자 수</t>
  </si>
  <si>
    <t xml:space="preserve">자동 계산</t>
  </si>
  <si>
    <t xml:space="preserve">④ 인력사무소 뽑기</t>
  </si>
  <si>
    <r>
      <rPr>
        <sz val="11"/>
        <rFont val="Noto Sans CJK SC"/>
        <family val="2"/>
      </rPr>
      <t xml:space="preserve">뽑기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회 가격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츄르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</si>
  <si>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가장 중요한 손잡이 — 너무 빨리 모이면 </t>
    </r>
    <r>
      <rPr>
        <sz val="11"/>
        <rFont val="Arial"/>
        <family val="0"/>
        <charset val="1"/>
      </rPr>
      <t xml:space="preserve">400~500</t>
    </r>
    <r>
      <rPr>
        <sz val="11"/>
        <rFont val="Noto Sans CJK SC"/>
        <family val="2"/>
      </rPr>
      <t xml:space="preserve">으로</t>
    </r>
  </si>
  <si>
    <t xml:space="preserve">일반 확률</t>
  </si>
  <si>
    <t xml:space="preserve">등급 안에서는 집사별 균등</t>
  </si>
  <si>
    <t xml:space="preserve">레어 확률</t>
  </si>
  <si>
    <t xml:space="preserve">전설 확률</t>
  </si>
  <si>
    <t xml:space="preserve">확률 합계 확인</t>
  </si>
  <si>
    <r>
      <rPr>
        <sz val="11"/>
        <rFont val="Noto Sans CJK SC"/>
        <family val="2"/>
      </rPr>
      <t xml:space="preserve">반드시 </t>
    </r>
    <r>
      <rPr>
        <sz val="11"/>
        <rFont val="Arial"/>
        <family val="0"/>
        <charset val="1"/>
      </rPr>
      <t xml:space="preserve">100%</t>
    </r>
  </si>
  <si>
    <r>
      <rPr>
        <sz val="11"/>
        <rFont val="Noto Sans CJK SC"/>
        <family val="2"/>
      </rPr>
      <t xml:space="preserve">전설 천장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</si>
  <si>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50</t>
    </r>
    <r>
      <rPr>
        <sz val="11"/>
        <rFont val="Noto Sans CJK SC"/>
        <family val="2"/>
      </rPr>
      <t xml:space="preserve">회 안에 전설 확정 — 지인 테스트 체감용 제안</t>
    </r>
  </si>
  <si>
    <t xml:space="preserve">중복 시 호감도</t>
  </si>
  <si>
    <r>
      <rPr>
        <sz val="11"/>
        <rFont val="Noto Sans CJK SC"/>
        <family val="2"/>
      </rPr>
      <t xml:space="preserve">꽝 없음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기획서</t>
    </r>
    <r>
      <rPr>
        <sz val="11"/>
        <rFont val="Arial"/>
        <family val="0"/>
        <charset val="1"/>
      </rPr>
      <t xml:space="preserve">)</t>
    </r>
  </si>
  <si>
    <t xml:space="preserve">하루 무료 이용권</t>
  </si>
  <si>
    <t xml:space="preserve">시작 츄르</t>
  </si>
  <si>
    <t xml:space="preserve">튜토리얼 직후 보유량</t>
  </si>
  <si>
    <t xml:space="preserve">⑤ 일터 자리 확장</t>
  </si>
  <si>
    <t xml:space="preserve">단계</t>
  </si>
  <si>
    <t xml:space="preserve">자리 수</t>
  </si>
  <si>
    <r>
      <rPr>
        <b val="true"/>
        <sz val="11"/>
        <color rgb="FFFFFFFF"/>
        <rFont val="Noto Sans CJK SC"/>
        <family val="2"/>
      </rPr>
      <t xml:space="preserve">비용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츄르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</si>
  <si>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기본</t>
  </si>
  <si>
    <r>
      <rPr>
        <sz val="11"/>
        <rFont val="Noto Sans CJK SC"/>
        <family val="2"/>
      </rPr>
      <t xml:space="preserve">일터마다 집사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명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</si>
  <si>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차 확장</t>
    </r>
  </si>
  <si>
    <t xml:space="preserve">일터별로 따로 확장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</si>
  <si>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 확장</t>
    </r>
  </si>
  <si>
    <r>
      <rPr>
        <b val="true"/>
        <sz val="11"/>
        <rFont val="Noto Sans CJK SC"/>
        <family val="2"/>
      </rPr>
      <t xml:space="preserve">⑥ 묘생 레벨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집사 호감도 합계 기준</t>
    </r>
    <r>
      <rPr>
        <b val="true"/>
        <sz val="11"/>
        <rFont val="Arial"/>
        <family val="0"/>
        <charset val="1"/>
      </rPr>
      <t xml:space="preserve">)</t>
    </r>
  </si>
  <si>
    <t xml:space="preserve">레벨</t>
  </si>
  <si>
    <t xml:space="preserve">필요 호감도 합계</t>
  </si>
  <si>
    <t xml:space="preserve">집사 수용 인원</t>
  </si>
  <si>
    <r>
      <rPr>
        <b val="true"/>
        <sz val="11"/>
        <color rgb="FFFFFFFF"/>
        <rFont val="Noto Sans CJK SC"/>
        <family val="2"/>
      </rPr>
      <t xml:space="preserve">해금 </t>
    </r>
    <r>
      <rPr>
        <b val="true"/>
        <sz val="11"/>
        <color rgb="FFFFFFFF"/>
        <rFont val="Arial"/>
        <family val="0"/>
        <charset val="1"/>
      </rPr>
      <t xml:space="preserve">(MVP</t>
    </r>
    <r>
      <rPr>
        <b val="true"/>
        <sz val="11"/>
        <color rgb="FFFFFFFF"/>
        <rFont val="Noto Sans CJK SC"/>
        <family val="2"/>
      </rPr>
      <t xml:space="preserve">는 수용 인원만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</si>
  <si>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시작</t>
  </si>
  <si>
    <t xml:space="preserve">방 한 칸 위로</t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</si>
  <si>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종 전원 수용</t>
    </r>
  </si>
  <si>
    <t xml:space="preserve">⑦ 집사별 특수 능력 수치</t>
  </si>
  <si>
    <t xml:space="preserve">집사</t>
  </si>
  <si>
    <t xml:space="preserve">등급</t>
  </si>
  <si>
    <t xml:space="preserve">적성</t>
  </si>
  <si>
    <t xml:space="preserve">능력 수치</t>
  </si>
  <si>
    <t xml:space="preserve">야근 회사원</t>
  </si>
  <si>
    <t xml:space="preserve">일반</t>
  </si>
  <si>
    <t xml:space="preserve">-</t>
  </si>
  <si>
    <t xml:space="preserve">튜토리얼 첫 집사</t>
  </si>
  <si>
    <t xml:space="preserve">편의점 알바생</t>
  </si>
  <si>
    <t xml:space="preserve">현장 막내</t>
  </si>
  <si>
    <r>
      <rPr>
        <sz val="11"/>
        <rFont val="Noto Sans CJK SC"/>
        <family val="2"/>
      </rPr>
      <t xml:space="preserve">피로 증가 </t>
    </r>
    <r>
      <rPr>
        <sz val="11"/>
        <rFont val="Arial"/>
        <family val="0"/>
        <charset val="1"/>
      </rPr>
      <t xml:space="preserve">×0.7, </t>
    </r>
    <r>
      <rPr>
        <sz val="11"/>
        <rFont val="Noto Sans CJK SC"/>
        <family val="2"/>
      </rPr>
      <t xml:space="preserve">완벽 꾹꾹이 시 호감 </t>
    </r>
    <r>
      <rPr>
        <sz val="11"/>
        <rFont val="Arial"/>
        <family val="0"/>
        <charset val="1"/>
      </rPr>
      <t xml:space="preserve">+5 </t>
    </r>
    <r>
      <rPr>
        <sz val="11"/>
        <rFont val="Noto Sans CJK SC"/>
        <family val="2"/>
      </rPr>
      <t xml:space="preserve">추가</t>
    </r>
  </si>
  <si>
    <t xml:space="preserve">휴학생</t>
  </si>
  <si>
    <r>
      <rPr>
        <sz val="11"/>
        <rFont val="Noto Sans CJK SC"/>
        <family val="2"/>
      </rPr>
      <t xml:space="preserve">호감도 획득 </t>
    </r>
    <r>
      <rPr>
        <sz val="11"/>
        <rFont val="Arial"/>
        <family val="0"/>
        <charset val="1"/>
      </rPr>
      <t xml:space="preserve">×1.5</t>
    </r>
  </si>
  <si>
    <t xml:space="preserve">재택 프리랜서</t>
  </si>
  <si>
    <r>
      <rPr>
        <sz val="11"/>
        <rFont val="Noto Sans CJK SC"/>
        <family val="2"/>
      </rPr>
      <t xml:space="preserve">쓰다듬기 호감도 </t>
    </r>
    <r>
      <rPr>
        <sz val="11"/>
        <rFont val="Arial"/>
        <family val="0"/>
        <charset val="1"/>
      </rPr>
      <t xml:space="preserve">×2</t>
    </r>
  </si>
  <si>
    <t xml:space="preserve">츄르 공장장</t>
  </si>
  <si>
    <t xml:space="preserve">레어</t>
  </si>
  <si>
    <r>
      <rPr>
        <sz val="11"/>
        <rFont val="Noto Sans CJK SC"/>
        <family val="2"/>
      </rPr>
      <t xml:space="preserve">모든 근무 수입 </t>
    </r>
    <r>
      <rPr>
        <sz val="11"/>
        <rFont val="Arial"/>
        <family val="0"/>
        <charset val="1"/>
      </rPr>
      <t xml:space="preserve">+10%, </t>
    </r>
    <r>
      <rPr>
        <sz val="11"/>
        <rFont val="Noto Sans CJK SC"/>
        <family val="2"/>
      </rPr>
      <t xml:space="preserve">퇴근 시 </t>
    </r>
    <r>
      <rPr>
        <sz val="11"/>
        <rFont val="Arial"/>
        <family val="0"/>
        <charset val="1"/>
      </rPr>
      <t xml:space="preserve">20% </t>
    </r>
    <r>
      <rPr>
        <sz val="11"/>
        <rFont val="Noto Sans CJK SC"/>
        <family val="2"/>
      </rPr>
      <t xml:space="preserve">확률로 츄르 </t>
    </r>
    <r>
      <rPr>
        <sz val="11"/>
        <rFont val="Arial"/>
        <family val="0"/>
        <charset val="1"/>
      </rPr>
      <t xml:space="preserve">+30, </t>
    </r>
    <r>
      <rPr>
        <sz val="11"/>
        <rFont val="Noto Sans CJK SC"/>
        <family val="2"/>
      </rPr>
      <t xml:space="preserve">호감도 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에서 시작</t>
    </r>
  </si>
  <si>
    <t xml:space="preserve">수의사</t>
  </si>
  <si>
    <r>
      <rPr>
        <sz val="11"/>
        <rFont val="Noto Sans CJK SC"/>
        <family val="2"/>
      </rPr>
      <t xml:space="preserve">꾹꾹이 받으면 집에 있는 다른 집사 피로 </t>
    </r>
    <r>
      <rPr>
        <sz val="11"/>
        <rFont val="Arial"/>
        <family val="0"/>
        <charset val="1"/>
      </rPr>
      <t xml:space="preserve">-10, </t>
    </r>
    <r>
      <rPr>
        <sz val="11"/>
        <rFont val="Noto Sans CJK SC"/>
        <family val="2"/>
      </rPr>
      <t xml:space="preserve">호감도 증가 </t>
    </r>
    <r>
      <rPr>
        <sz val="11"/>
        <rFont val="Arial"/>
        <family val="0"/>
        <charset val="1"/>
      </rPr>
      <t xml:space="preserve">×0.7</t>
    </r>
  </si>
  <si>
    <t xml:space="preserve">건물주</t>
  </si>
  <si>
    <t xml:space="preserve">전설</t>
  </si>
  <si>
    <r>
      <rPr>
        <sz val="11"/>
        <rFont val="Noto Sans CJK SC"/>
        <family val="2"/>
      </rPr>
      <t xml:space="preserve">근무 안 함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시간당 츄르 </t>
    </r>
    <r>
      <rPr>
        <sz val="11"/>
        <rFont val="Arial"/>
        <family val="0"/>
        <charset val="1"/>
      </rPr>
      <t xml:space="preserve">40 </t>
    </r>
    <r>
      <rPr>
        <sz val="11"/>
        <rFont val="Noto Sans CJK SC"/>
        <family val="2"/>
      </rPr>
      <t xml:space="preserve">적립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최대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시간분</t>
    </r>
    <r>
      <rPr>
        <sz val="11"/>
        <rFont val="Arial"/>
        <family val="0"/>
        <charset val="1"/>
      </rPr>
      <t xml:space="preserve">(320)</t>
    </r>
    <r>
      <rPr>
        <sz val="11"/>
        <rFont val="Noto Sans CJK SC"/>
        <family val="2"/>
      </rPr>
      <t xml:space="preserve">까지 쌓임</t>
    </r>
  </si>
  <si>
    <t xml:space="preserve">일터별 효율 — 자동 계산</t>
  </si>
  <si>
    <r>
      <rPr>
        <i val="true"/>
        <sz val="11"/>
        <color rgb="FF666666"/>
        <rFont val="Noto Sans CJK SC"/>
        <family val="2"/>
      </rPr>
      <t xml:space="preserve">자주 켤수록 시간당 이득이 크고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Noto Sans CJK SC"/>
        <family val="2"/>
      </rPr>
      <t xml:space="preserve">오래 비울수록 한 번에 많이 받는 구조인지 확인하는 표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</si>
  <si>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회 츄르</t>
    </r>
  </si>
  <si>
    <t xml:space="preserve">시간당 츄르</t>
  </si>
  <si>
    <r>
      <rPr>
        <b val="true"/>
        <sz val="11"/>
        <color rgb="FFFFFFFF"/>
        <rFont val="Noto Sans CJK SC"/>
        <family val="2"/>
      </rPr>
      <t xml:space="preserve">적성 시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회</t>
    </r>
  </si>
  <si>
    <t xml:space="preserve">적성 시 시간당</t>
  </si>
  <si>
    <r>
      <rPr>
        <b val="true"/>
        <sz val="11"/>
        <color rgb="FFFFFFFF"/>
        <rFont val="Noto Sans CJK SC"/>
        <family val="2"/>
      </rPr>
      <t xml:space="preserve">피로 </t>
    </r>
    <r>
      <rPr>
        <b val="true"/>
        <sz val="11"/>
        <color rgb="FFFFFFFF"/>
        <rFont val="Arial"/>
        <family val="0"/>
        <charset val="1"/>
      </rPr>
      <t xml:space="preserve">70+ 1</t>
    </r>
    <r>
      <rPr>
        <b val="true"/>
        <sz val="11"/>
        <color rgb="FFFFFFFF"/>
        <rFont val="Noto Sans CJK SC"/>
        <family val="2"/>
      </rPr>
      <t xml:space="preserve">회</t>
    </r>
  </si>
  <si>
    <r>
      <rPr>
        <b val="true"/>
        <sz val="11"/>
        <color rgb="FFFFFFFF"/>
        <rFont val="Noto Sans CJK SC"/>
        <family val="2"/>
      </rPr>
      <t xml:space="preserve">연속 출근 가능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</si>
  <si>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츄르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개당 피로</t>
    </r>
  </si>
  <si>
    <r>
      <rPr>
        <i val="true"/>
        <sz val="11"/>
        <color rgb="FF666666"/>
        <rFont val="Noto Sans CJK SC"/>
        <family val="2"/>
      </rPr>
      <t xml:space="preserve">연속 출근 가능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피로 </t>
    </r>
    <r>
      <rPr>
        <i val="true"/>
        <sz val="11"/>
        <color rgb="FF666666"/>
        <rFont val="Arial"/>
        <family val="0"/>
        <charset val="1"/>
      </rPr>
      <t xml:space="preserve">0</t>
    </r>
    <r>
      <rPr>
        <i val="true"/>
        <sz val="11"/>
        <color rgb="FF666666"/>
        <rFont val="Noto Sans CJK SC"/>
        <family val="2"/>
      </rPr>
      <t xml:space="preserve">에서 시작해 자연 회복 없이 몇 번 연달아 보낼 수 있는지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꾹꾹이로 이 제한을 풀어주는 게 핵심 고리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</si>
  <si>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플레이 유형별 하루 수입과 수집 속도</t>
  </si>
  <si>
    <r>
      <rPr>
        <i val="true"/>
        <sz val="11"/>
        <color rgb="FF666666"/>
        <rFont val="Noto Sans CJK SC"/>
        <family val="2"/>
      </rPr>
      <t xml:space="preserve">파란 칸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하루 근무 횟수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Noto Sans CJK SC"/>
        <family val="2"/>
      </rPr>
      <t xml:space="preserve">적성 비율</t>
    </r>
    <r>
      <rPr>
        <i val="true"/>
        <sz val="11"/>
        <color rgb="FF666666"/>
        <rFont val="Arial"/>
        <family val="0"/>
        <charset val="1"/>
      </rPr>
      <t xml:space="preserve">)</t>
    </r>
    <r>
      <rPr>
        <i val="true"/>
        <sz val="11"/>
        <color rgb="FF666666"/>
        <rFont val="Noto Sans CJK SC"/>
        <family val="2"/>
      </rPr>
      <t xml:space="preserve">은 가정값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노란 칸이 핵심 결과 — 뽑기가 너무 빠르거나 느린지 판단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</si>
  <si>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첫날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집사 </t>
    </r>
    <r>
      <rPr>
        <b val="true"/>
        <sz val="11"/>
        <color rgb="FFFFFFFF"/>
        <rFont val="Arial"/>
        <family val="0"/>
        <charset val="1"/>
      </rPr>
      <t xml:space="preserve">1~2</t>
    </r>
    <r>
      <rPr>
        <b val="true"/>
        <sz val="11"/>
        <color rgb="FFFFFFFF"/>
        <rFont val="Noto Sans CJK SC"/>
        <family val="2"/>
      </rPr>
      <t xml:space="preserve">명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</si>
  <si>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자주 켜는 사람</t>
  </si>
  <si>
    <t xml:space="preserve">가끔 켜는 사람</t>
  </si>
  <si>
    <r>
      <rPr>
        <sz val="11"/>
        <rFont val="Noto Sans CJK SC"/>
        <family val="2"/>
      </rPr>
      <t xml:space="preserve">편의점 근무 횟수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일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</si>
  <si>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분마다 들어와서 다시 보냄</t>
    </r>
  </si>
  <si>
    <r>
      <rPr>
        <sz val="11"/>
        <rFont val="Noto Sans CJK SC"/>
        <family val="2"/>
      </rPr>
      <t xml:space="preserve">회사 근무 횟수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일</t>
    </r>
  </si>
  <si>
    <r>
      <rPr>
        <sz val="11"/>
        <rFont val="Noto Sans CJK SC"/>
        <family val="2"/>
      </rPr>
      <t xml:space="preserve">점심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퇴근길</t>
    </r>
  </si>
  <si>
    <r>
      <rPr>
        <sz val="11"/>
        <rFont val="Noto Sans CJK SC"/>
        <family val="2"/>
      </rPr>
      <t xml:space="preserve">공사장 근무 횟수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일</t>
    </r>
  </si>
  <si>
    <r>
      <rPr>
        <sz val="11"/>
        <rFont val="Noto Sans CJK SC"/>
        <family val="2"/>
      </rPr>
      <t xml:space="preserve">밤새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출근 시간</t>
    </r>
  </si>
  <si>
    <t xml:space="preserve">적성 맞춘 비율</t>
  </si>
  <si>
    <t xml:space="preserve">절반 정도는 적성에 맞게 배치한다고 가정</t>
  </si>
  <si>
    <r>
      <rPr>
        <b val="true"/>
        <sz val="11"/>
        <rFont val="Noto Sans CJK SC"/>
        <family val="2"/>
      </rPr>
      <t xml:space="preserve">하루 츄르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근무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</si>
  <si>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피로 페널티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호감 보너스 제외</t>
    </r>
  </si>
  <si>
    <r>
      <rPr>
        <b val="true"/>
        <sz val="11"/>
        <rFont val="Noto Sans CJK SC"/>
        <family val="2"/>
      </rPr>
      <t xml:space="preserve">유료 뽑기 횟수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일</t>
    </r>
  </si>
  <si>
    <r>
      <rPr>
        <b val="true"/>
        <sz val="11"/>
        <rFont val="Noto Sans CJK SC"/>
        <family val="2"/>
      </rPr>
      <t xml:space="preserve">총 뽑기 횟수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일</t>
    </r>
  </si>
  <si>
    <t xml:space="preserve">무료 이용권 포함</t>
  </si>
  <si>
    <t xml:space="preserve">레어 하나 나오는 데 걸리는 날</t>
  </si>
  <si>
    <t xml:space="preserve">기대값</t>
  </si>
  <si>
    <r>
      <rPr>
        <b val="true"/>
        <sz val="11"/>
        <rFont val="Noto Sans CJK SC"/>
        <family val="2"/>
      </rPr>
      <t xml:space="preserve">전설 기대 일수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천장 포함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</si>
  <si>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천장 덕분에 확률만으로 본 평균</t>
    </r>
    <r>
      <rPr>
        <sz val="11"/>
        <rFont val="Arial"/>
        <family val="0"/>
        <charset val="1"/>
      </rPr>
      <t xml:space="preserve">(50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보다 빠름</t>
    </r>
  </si>
  <si>
    <r>
      <rPr>
        <b val="true"/>
        <sz val="11"/>
        <rFont val="Noto Sans CJK SC"/>
        <family val="2"/>
      </rPr>
      <t xml:space="preserve">전설 최대 일수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천장</t>
    </r>
    <r>
      <rPr>
        <b val="true"/>
        <sz val="11"/>
        <rFont val="Arial"/>
        <family val="0"/>
        <charset val="1"/>
      </rPr>
      <t xml:space="preserve">)</t>
    </r>
  </si>
  <si>
    <t xml:space="preserve">아무리 운이 나빠도 이 안에</t>
  </si>
  <si>
    <r>
      <rPr>
        <b val="true"/>
        <sz val="11"/>
        <rFont val="Arial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종 도감 완성 최대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일</t>
    </r>
    <r>
      <rPr>
        <b val="true"/>
        <sz val="11"/>
        <rFont val="Arial"/>
        <family val="0"/>
        <charset val="1"/>
      </rPr>
      <t xml:space="preserve">)</t>
    </r>
  </si>
  <si>
    <t xml:space="preserve">전설이 사실상 마지막 퍼즐 — 천장 기준</t>
  </si>
  <si>
    <r>
      <rPr>
        <i val="true"/>
        <sz val="11"/>
        <color rgb="FF666666"/>
        <rFont val="Noto Sans CJK SC"/>
        <family val="2"/>
      </rPr>
      <t xml:space="preserve">판단 기준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제안</t>
    </r>
    <r>
      <rPr>
        <i val="true"/>
        <sz val="11"/>
        <color rgb="FF666666"/>
        <rFont val="Arial"/>
        <family val="0"/>
        <charset val="1"/>
      </rPr>
      <t xml:space="preserve">): </t>
    </r>
    <r>
      <rPr>
        <i val="true"/>
        <sz val="11"/>
        <color rgb="FF666666"/>
        <rFont val="Noto Sans CJK SC"/>
        <family val="2"/>
      </rPr>
      <t xml:space="preserve">자주 켜는 사람이 하루 </t>
    </r>
    <r>
      <rPr>
        <i val="true"/>
        <sz val="11"/>
        <color rgb="FF666666"/>
        <rFont val="Arial"/>
        <family val="0"/>
        <charset val="1"/>
      </rPr>
      <t xml:space="preserve">3~5</t>
    </r>
    <r>
      <rPr>
        <i val="true"/>
        <sz val="11"/>
        <color rgb="FF666666"/>
        <rFont val="Noto Sans CJK SC"/>
        <family val="2"/>
      </rPr>
      <t xml:space="preserve">회 뽑고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Noto Sans CJK SC"/>
        <family val="2"/>
      </rPr>
      <t xml:space="preserve">일주일 테스트 안에 전설을 볼 수도 있는 정도 → 지인 테스트에서 </t>
    </r>
    <r>
      <rPr>
        <i val="true"/>
        <sz val="11"/>
        <color rgb="FF666666"/>
        <rFont val="Arial"/>
        <family val="0"/>
        <charset val="1"/>
      </rPr>
      <t xml:space="preserve">'</t>
    </r>
    <r>
      <rPr>
        <i val="true"/>
        <sz val="11"/>
        <color rgb="FF666666"/>
        <rFont val="Noto Sans CJK SC"/>
        <family val="2"/>
      </rPr>
      <t xml:space="preserve">한 번 더 켤 이유</t>
    </r>
    <r>
      <rPr>
        <i val="true"/>
        <sz val="11"/>
        <color rgb="FF666666"/>
        <rFont val="Arial"/>
        <family val="0"/>
        <charset val="1"/>
      </rPr>
      <t xml:space="preserve">'</t>
    </r>
    <r>
      <rPr>
        <i val="true"/>
        <sz val="11"/>
        <color rgb="FF666666"/>
        <rFont val="Noto Sans CJK SC"/>
        <family val="2"/>
      </rPr>
      <t xml:space="preserve">가 생김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출시 땐 가격을 올려 속도를 늦춤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</si>
  <si>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i val="true"/>
        <sz val="11"/>
        <color rgb="FF666666"/>
        <rFont val="Noto Sans CJK SC"/>
        <family val="2"/>
      </rPr>
      <t xml:space="preserve">주의</t>
    </r>
    <r>
      <rPr>
        <i val="true"/>
        <sz val="11"/>
        <color rgb="FF666666"/>
        <rFont val="Arial"/>
        <family val="0"/>
        <charset val="1"/>
      </rPr>
      <t xml:space="preserve">: </t>
    </r>
    <r>
      <rPr>
        <i val="true"/>
        <sz val="11"/>
        <color rgb="FF666666"/>
        <rFont val="Noto Sans CJK SC"/>
        <family val="2"/>
      </rPr>
      <t xml:space="preserve">일터 자리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시작 </t>
    </r>
    <r>
      <rPr>
        <i val="true"/>
        <sz val="11"/>
        <color rgb="FF666666"/>
        <rFont val="Arial"/>
        <family val="0"/>
        <charset val="1"/>
      </rPr>
      <t xml:space="preserve">1</t>
    </r>
    <r>
      <rPr>
        <i val="true"/>
        <sz val="11"/>
        <color rgb="FF666666"/>
        <rFont val="Noto Sans CJK SC"/>
        <family val="2"/>
      </rPr>
      <t xml:space="preserve">자리</t>
    </r>
    <r>
      <rPr>
        <i val="true"/>
        <sz val="11"/>
        <color rgb="FF666666"/>
        <rFont val="Arial"/>
        <family val="0"/>
        <charset val="1"/>
      </rPr>
      <t xml:space="preserve">)</t>
    </r>
    <r>
      <rPr>
        <i val="true"/>
        <sz val="11"/>
        <color rgb="FF666666"/>
        <rFont val="Noto Sans CJK SC"/>
        <family val="2"/>
      </rPr>
      <t xml:space="preserve">가 동시에 보낼 수 있는 인원을 제한하므로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Noto Sans CJK SC"/>
        <family val="2"/>
      </rPr>
      <t xml:space="preserve">위 근무 횟수는 그 안에서 현실적인 값으로 잡았음</t>
    </r>
    <r>
      <rPr>
        <i val="true"/>
        <sz val="11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</si>
</sst>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"/>
    <numFmt numFmtId="168" formatCode="0.00"/>
    <numFmt numFmtId="169" formatCode="0.0%"/>
    <numFmt numFmtId="170" formatCode="#,##0.0"/>
    <numFmt numFmtId="171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66666"/>
      <name val="Noto Sans CJK SC"/>
      <family val="2"/>
    </font>
    <font>
      <i val="true"/>
      <sz val="11"/>
      <color rgb="FF666666"/>
      <name val="Arial"/>
      <family val="0"/>
      <charset val="1"/>
    </font>
    <font>
      <b val="true"/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Noto Sans CJK SC"/>
      <family val="2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ECE4"/>
        <bgColor rgb="FFFFFFFF"/>
      </patternFill>
    </fill>
    <fill>
      <patternFill patternType="solid">
        <fgColor rgb="FF5B4A3F"/>
        <bgColor rgb="FF6666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3EC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62"/>
  </cols>
  <sheetData>
    <row r="1" customFormat="false" ht="21.6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7.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5"/>
      <c r="C4" s="5"/>
      <c r="D4" s="5"/>
      <c r="E4" s="5"/>
      <c r="F4" s="5"/>
    </row>
    <row r="5" customFormat="false" ht="17.15" hidden="false" customHeight="fals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customFormat="false" ht="15" hidden="false" customHeight="false" outlineLevel="0" collapsed="false">
      <c r="A6" s="7" t="s">
        <v>9</v>
      </c>
      <c r="B6" s="8" t="n">
        <v>30</v>
      </c>
      <c r="C6" s="8" t="n">
        <v>30</v>
      </c>
      <c r="D6" s="8" t="n">
        <v>15</v>
      </c>
      <c r="E6" s="8" t="n">
        <v>1</v>
      </c>
      <c r="F6" s="9" t="s">
        <v>10</v>
      </c>
    </row>
    <row r="7" customFormat="false" ht="17.15" hidden="false" customHeight="false" outlineLevel="0" collapsed="false">
      <c r="A7" s="7" t="s">
        <v>11</v>
      </c>
      <c r="B7" s="8" t="n">
        <v>120</v>
      </c>
      <c r="C7" s="8" t="n">
        <v>100</v>
      </c>
      <c r="D7" s="8" t="n">
        <v>30</v>
      </c>
      <c r="E7" s="8" t="n">
        <v>1</v>
      </c>
      <c r="F7" s="9" t="s">
        <v>12</v>
      </c>
    </row>
    <row r="8" customFormat="false" ht="17.15" hidden="false" customHeight="false" outlineLevel="0" collapsed="false">
      <c r="A8" s="7" t="s">
        <v>13</v>
      </c>
      <c r="B8" s="8" t="n">
        <v>480</v>
      </c>
      <c r="C8" s="8" t="n">
        <v>300</v>
      </c>
      <c r="D8" s="8" t="n">
        <v>60</v>
      </c>
      <c r="E8" s="8" t="n">
        <v>1</v>
      </c>
      <c r="F8" s="9" t="s">
        <v>14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4" t="s">
        <v>15</v>
      </c>
      <c r="B10" s="5"/>
      <c r="C10" s="5"/>
      <c r="D10" s="5"/>
      <c r="E10" s="5"/>
      <c r="F10" s="5"/>
    </row>
    <row r="11" customFormat="false" ht="17.15" hidden="false" customHeight="false" outlineLevel="0" collapsed="false">
      <c r="A11" s="6" t="s">
        <v>16</v>
      </c>
      <c r="B11" s="6" t="s">
        <v>17</v>
      </c>
      <c r="C11" s="6"/>
      <c r="D11" s="6"/>
      <c r="E11" s="6"/>
      <c r="F11" s="6" t="s">
        <v>18</v>
      </c>
    </row>
    <row r="12" customFormat="false" ht="17.15" hidden="false" customHeight="false" outlineLevel="0" collapsed="false">
      <c r="A12" s="9" t="s">
        <v>19</v>
      </c>
      <c r="B12" s="10" t="n">
        <v>0.5</v>
      </c>
      <c r="C12" s="2"/>
      <c r="D12" s="2"/>
      <c r="E12" s="2"/>
      <c r="F12" s="9" t="s">
        <v>20</v>
      </c>
    </row>
    <row r="13" customFormat="false" ht="17.15" hidden="false" customHeight="false" outlineLevel="0" collapsed="false">
      <c r="A13" s="9" t="s">
        <v>21</v>
      </c>
      <c r="B13" s="11" t="n">
        <v>100</v>
      </c>
      <c r="C13" s="2"/>
      <c r="D13" s="2"/>
      <c r="E13" s="2"/>
      <c r="F13" s="9" t="s">
        <v>22</v>
      </c>
    </row>
    <row r="14" customFormat="false" ht="15" hidden="false" customHeight="false" outlineLevel="0" collapsed="false">
      <c r="A14" s="9" t="s">
        <v>23</v>
      </c>
      <c r="B14" s="11" t="n">
        <v>70</v>
      </c>
      <c r="C14" s="2"/>
      <c r="D14" s="2"/>
      <c r="E14" s="2"/>
      <c r="F14" s="9" t="s">
        <v>24</v>
      </c>
    </row>
    <row r="15" customFormat="false" ht="17.15" hidden="false" customHeight="false" outlineLevel="0" collapsed="false">
      <c r="A15" s="9" t="s">
        <v>25</v>
      </c>
      <c r="B15" s="10" t="n">
        <v>0.3</v>
      </c>
      <c r="C15" s="2"/>
      <c r="D15" s="2"/>
      <c r="E15" s="2"/>
      <c r="F15" s="9" t="s">
        <v>26</v>
      </c>
    </row>
    <row r="16" customFormat="false" ht="15" hidden="false" customHeight="false" outlineLevel="0" collapsed="false">
      <c r="A16" s="9" t="s">
        <v>27</v>
      </c>
      <c r="B16" s="11" t="n">
        <v>90</v>
      </c>
      <c r="C16" s="2"/>
      <c r="D16" s="2"/>
      <c r="E16" s="2"/>
      <c r="F16" s="9" t="s">
        <v>28</v>
      </c>
    </row>
    <row r="17" customFormat="false" ht="17.15" hidden="false" customHeight="false" outlineLevel="0" collapsed="false">
      <c r="A17" s="9" t="s">
        <v>29</v>
      </c>
      <c r="B17" s="11" t="n">
        <v>10</v>
      </c>
      <c r="C17" s="2"/>
      <c r="D17" s="2"/>
      <c r="E17" s="2"/>
      <c r="F17" s="9" t="s">
        <v>30</v>
      </c>
    </row>
    <row r="18" customFormat="false" ht="15" hidden="false" customHeight="false" outlineLevel="0" collapsed="false">
      <c r="A18" s="9" t="s">
        <v>31</v>
      </c>
      <c r="B18" s="11" t="n">
        <v>100</v>
      </c>
      <c r="C18" s="2"/>
      <c r="D18" s="2"/>
      <c r="E18" s="2"/>
      <c r="F18" s="9"/>
    </row>
    <row r="19" customFormat="false" ht="17.15" hidden="false" customHeight="false" outlineLevel="0" collapsed="false">
      <c r="A19" s="9" t="s">
        <v>32</v>
      </c>
      <c r="B19" s="11" t="n">
        <v>20</v>
      </c>
      <c r="C19" s="2"/>
      <c r="D19" s="2"/>
      <c r="E19" s="2"/>
      <c r="F19" s="12" t="s">
        <v>33</v>
      </c>
    </row>
    <row r="20" customFormat="false" ht="17.15" hidden="false" customHeight="false" outlineLevel="0" collapsed="false">
      <c r="A20" s="9" t="s">
        <v>34</v>
      </c>
      <c r="B20" s="10" t="n">
        <v>0.05</v>
      </c>
      <c r="C20" s="2"/>
      <c r="D20" s="2"/>
      <c r="E20" s="2"/>
      <c r="F20" s="12" t="s">
        <v>35</v>
      </c>
    </row>
    <row r="21" customFormat="false" ht="17.15" hidden="false" customHeight="false" outlineLevel="0" collapsed="false">
      <c r="A21" s="9" t="s">
        <v>36</v>
      </c>
      <c r="B21" s="11" t="n">
        <v>2</v>
      </c>
      <c r="C21" s="2"/>
      <c r="D21" s="2"/>
      <c r="E21" s="2"/>
      <c r="F21" s="9" t="s">
        <v>37</v>
      </c>
    </row>
    <row r="22" customFormat="false" ht="15" hidden="false" customHeight="false" outlineLevel="0" collapsed="false">
      <c r="A22" s="9" t="s">
        <v>38</v>
      </c>
      <c r="B22" s="11" t="n">
        <v>3</v>
      </c>
      <c r="C22" s="2"/>
      <c r="D22" s="2"/>
      <c r="E22" s="2"/>
      <c r="F22" s="9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4" t="s">
        <v>39</v>
      </c>
      <c r="B24" s="5"/>
      <c r="C24" s="5"/>
      <c r="D24" s="5"/>
      <c r="E24" s="5"/>
      <c r="F24" s="5"/>
    </row>
    <row r="25" customFormat="false" ht="17.15" hidden="false" customHeight="false" outlineLevel="0" collapsed="false">
      <c r="A25" s="6" t="s">
        <v>40</v>
      </c>
      <c r="B25" s="6" t="s">
        <v>41</v>
      </c>
      <c r="C25" s="6" t="s">
        <v>42</v>
      </c>
      <c r="D25" s="6" t="s">
        <v>43</v>
      </c>
      <c r="E25" s="6" t="s">
        <v>44</v>
      </c>
      <c r="F25" s="6" t="s">
        <v>18</v>
      </c>
    </row>
    <row r="26" customFormat="false" ht="15" hidden="false" customHeight="false" outlineLevel="0" collapsed="false">
      <c r="A26" s="7" t="s">
        <v>45</v>
      </c>
      <c r="B26" s="10" t="n">
        <v>0</v>
      </c>
      <c r="C26" s="11" t="n">
        <v>30</v>
      </c>
      <c r="D26" s="11" t="n">
        <v>2</v>
      </c>
      <c r="E26" s="11" t="n">
        <v>0</v>
      </c>
      <c r="F26" s="9" t="s">
        <v>46</v>
      </c>
    </row>
    <row r="27" customFormat="false" ht="15" hidden="false" customHeight="false" outlineLevel="0" collapsed="false">
      <c r="A27" s="7" t="s">
        <v>47</v>
      </c>
      <c r="B27" s="10" t="n">
        <v>0.6</v>
      </c>
      <c r="C27" s="11" t="n">
        <v>50</v>
      </c>
      <c r="D27" s="11" t="n">
        <v>5</v>
      </c>
      <c r="E27" s="11" t="n">
        <v>0</v>
      </c>
      <c r="F27" s="9"/>
    </row>
    <row r="28" customFormat="false" ht="17.15" hidden="false" customHeight="false" outlineLevel="0" collapsed="false">
      <c r="A28" s="7" t="s">
        <v>48</v>
      </c>
      <c r="B28" s="10" t="n">
        <v>0.9</v>
      </c>
      <c r="C28" s="11" t="n">
        <v>100</v>
      </c>
      <c r="D28" s="11" t="n">
        <v>10</v>
      </c>
      <c r="E28" s="11" t="n">
        <v>20</v>
      </c>
      <c r="F28" s="9" t="s">
        <v>49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7.15" hidden="false" customHeight="false" outlineLevel="0" collapsed="false">
      <c r="A30" s="6" t="s">
        <v>50</v>
      </c>
      <c r="B30" s="6" t="s">
        <v>17</v>
      </c>
      <c r="C30" s="6"/>
      <c r="D30" s="6"/>
      <c r="E30" s="6"/>
      <c r="F30" s="6" t="s">
        <v>18</v>
      </c>
    </row>
    <row r="31" customFormat="false" ht="17.15" hidden="false" customHeight="false" outlineLevel="0" collapsed="false">
      <c r="A31" s="9" t="s">
        <v>51</v>
      </c>
      <c r="B31" s="11" t="n">
        <v>40</v>
      </c>
      <c r="C31" s="2"/>
      <c r="D31" s="2"/>
      <c r="E31" s="2"/>
      <c r="F31" s="9" t="s">
        <v>52</v>
      </c>
    </row>
    <row r="32" customFormat="false" ht="17.15" hidden="false" customHeight="false" outlineLevel="0" collapsed="false">
      <c r="A32" s="9" t="s">
        <v>53</v>
      </c>
      <c r="B32" s="13" t="n">
        <v>0.6</v>
      </c>
      <c r="C32" s="2"/>
      <c r="D32" s="2"/>
      <c r="E32" s="2"/>
      <c r="F32" s="9" t="s">
        <v>54</v>
      </c>
    </row>
    <row r="33" customFormat="false" ht="17.15" hidden="false" customHeight="false" outlineLevel="0" collapsed="false">
      <c r="A33" s="12" t="s">
        <v>55</v>
      </c>
      <c r="B33" s="13" t="n">
        <v>0.12</v>
      </c>
      <c r="C33" s="2"/>
      <c r="D33" s="2"/>
      <c r="E33" s="2"/>
      <c r="F33" s="9" t="s">
        <v>56</v>
      </c>
    </row>
    <row r="34" customFormat="false" ht="17.15" hidden="false" customHeight="false" outlineLevel="0" collapsed="false">
      <c r="A34" s="12" t="s">
        <v>57</v>
      </c>
      <c r="B34" s="13" t="n">
        <v>0.25</v>
      </c>
      <c r="C34" s="2"/>
      <c r="D34" s="2"/>
      <c r="E34" s="2"/>
      <c r="F34" s="9" t="s">
        <v>58</v>
      </c>
    </row>
    <row r="35" customFormat="false" ht="15" hidden="false" customHeight="false" outlineLevel="0" collapsed="false">
      <c r="A35" s="9" t="s">
        <v>59</v>
      </c>
      <c r="B35" s="14" t="n">
        <f aca="false">INT(B31/B32)</f>
        <v>66</v>
      </c>
      <c r="C35" s="2"/>
      <c r="D35" s="2"/>
      <c r="E35" s="2"/>
      <c r="F35" s="9" t="s">
        <v>60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</row>
    <row r="37" customFormat="false" ht="15" hidden="false" customHeight="false" outlineLevel="0" collapsed="false">
      <c r="A37" s="4" t="s">
        <v>61</v>
      </c>
      <c r="B37" s="5"/>
      <c r="C37" s="5"/>
      <c r="D37" s="5"/>
      <c r="E37" s="5"/>
      <c r="F37" s="5"/>
    </row>
    <row r="38" customFormat="false" ht="17.15" hidden="false" customHeight="false" outlineLevel="0" collapsed="false">
      <c r="A38" s="6" t="s">
        <v>16</v>
      </c>
      <c r="B38" s="6" t="s">
        <v>17</v>
      </c>
      <c r="C38" s="6"/>
      <c r="D38" s="6"/>
      <c r="E38" s="6"/>
      <c r="F38" s="6" t="s">
        <v>18</v>
      </c>
    </row>
    <row r="39" customFormat="false" ht="17.15" hidden="false" customHeight="false" outlineLevel="0" collapsed="false">
      <c r="A39" s="9" t="s">
        <v>62</v>
      </c>
      <c r="B39" s="8" t="n">
        <v>300</v>
      </c>
      <c r="C39" s="2"/>
      <c r="D39" s="2"/>
      <c r="E39" s="2"/>
      <c r="F39" s="9" t="s">
        <v>63</v>
      </c>
    </row>
    <row r="40" customFormat="false" ht="15" hidden="false" customHeight="false" outlineLevel="0" collapsed="false">
      <c r="A40" s="9" t="s">
        <v>64</v>
      </c>
      <c r="B40" s="15" t="n">
        <v>0.85</v>
      </c>
      <c r="C40" s="2"/>
      <c r="D40" s="2"/>
      <c r="E40" s="2"/>
      <c r="F40" s="9" t="s">
        <v>65</v>
      </c>
    </row>
    <row r="41" customFormat="false" ht="15" hidden="false" customHeight="false" outlineLevel="0" collapsed="false">
      <c r="A41" s="9" t="s">
        <v>66</v>
      </c>
      <c r="B41" s="15" t="n">
        <v>0.13</v>
      </c>
      <c r="C41" s="2"/>
      <c r="D41" s="2"/>
      <c r="E41" s="2"/>
      <c r="F41" s="9"/>
    </row>
    <row r="42" customFormat="false" ht="15" hidden="false" customHeight="false" outlineLevel="0" collapsed="false">
      <c r="A42" s="9" t="s">
        <v>67</v>
      </c>
      <c r="B42" s="15" t="n">
        <v>0.02</v>
      </c>
      <c r="C42" s="2"/>
      <c r="D42" s="2"/>
      <c r="E42" s="2"/>
      <c r="F42" s="9"/>
    </row>
    <row r="43" customFormat="false" ht="17.15" hidden="false" customHeight="false" outlineLevel="0" collapsed="false">
      <c r="A43" s="9" t="s">
        <v>68</v>
      </c>
      <c r="B43" s="16" t="n">
        <f aca="false">B40+B41+B42</f>
        <v>1</v>
      </c>
      <c r="C43" s="2"/>
      <c r="D43" s="2"/>
      <c r="E43" s="2"/>
      <c r="F43" s="9" t="s">
        <v>69</v>
      </c>
    </row>
    <row r="44" customFormat="false" ht="17.15" hidden="false" customHeight="false" outlineLevel="0" collapsed="false">
      <c r="A44" s="9" t="s">
        <v>70</v>
      </c>
      <c r="B44" s="11" t="n">
        <v>50</v>
      </c>
      <c r="C44" s="2"/>
      <c r="D44" s="2"/>
      <c r="E44" s="2"/>
      <c r="F44" s="12" t="s">
        <v>71</v>
      </c>
    </row>
    <row r="45" customFormat="false" ht="17.15" hidden="false" customHeight="false" outlineLevel="0" collapsed="false">
      <c r="A45" s="9" t="s">
        <v>72</v>
      </c>
      <c r="B45" s="11" t="n">
        <v>20</v>
      </c>
      <c r="C45" s="2"/>
      <c r="D45" s="2"/>
      <c r="E45" s="2"/>
      <c r="F45" s="9" t="s">
        <v>73</v>
      </c>
    </row>
    <row r="46" customFormat="false" ht="15" hidden="false" customHeight="false" outlineLevel="0" collapsed="false">
      <c r="A46" s="9" t="s">
        <v>74</v>
      </c>
      <c r="B46" s="11" t="n">
        <v>1</v>
      </c>
      <c r="C46" s="2"/>
      <c r="D46" s="2"/>
      <c r="E46" s="2"/>
      <c r="F46" s="9" t="s">
        <v>52</v>
      </c>
    </row>
    <row r="47" customFormat="false" ht="15" hidden="false" customHeight="false" outlineLevel="0" collapsed="false">
      <c r="A47" s="9" t="s">
        <v>75</v>
      </c>
      <c r="B47" s="8" t="n">
        <v>100</v>
      </c>
      <c r="C47" s="2"/>
      <c r="D47" s="2"/>
      <c r="E47" s="2"/>
      <c r="F47" s="9" t="s">
        <v>76</v>
      </c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</row>
    <row r="49" customFormat="false" ht="15" hidden="false" customHeight="false" outlineLevel="0" collapsed="false">
      <c r="A49" s="4" t="s">
        <v>77</v>
      </c>
      <c r="B49" s="5"/>
      <c r="C49" s="5"/>
      <c r="D49" s="5"/>
      <c r="E49" s="5"/>
      <c r="F49" s="5"/>
    </row>
    <row r="50" customFormat="false" ht="17.15" hidden="false" customHeight="false" outlineLevel="0" collapsed="false">
      <c r="A50" s="6" t="s">
        <v>78</v>
      </c>
      <c r="B50" s="6" t="s">
        <v>79</v>
      </c>
      <c r="C50" s="6" t="s">
        <v>80</v>
      </c>
      <c r="D50" s="6"/>
      <c r="E50" s="6"/>
      <c r="F50" s="6" t="s">
        <v>18</v>
      </c>
    </row>
    <row r="51" customFormat="false" ht="17.15" hidden="false" customHeight="false" outlineLevel="0" collapsed="false">
      <c r="A51" s="9" t="s">
        <v>81</v>
      </c>
      <c r="B51" s="17" t="n">
        <v>1</v>
      </c>
      <c r="C51" s="8" t="n">
        <v>0</v>
      </c>
      <c r="D51" s="2"/>
      <c r="E51" s="2"/>
      <c r="F51" s="9" t="s">
        <v>82</v>
      </c>
    </row>
    <row r="52" customFormat="false" ht="17.15" hidden="false" customHeight="false" outlineLevel="0" collapsed="false">
      <c r="A52" s="12" t="s">
        <v>83</v>
      </c>
      <c r="B52" s="17" t="n">
        <v>2</v>
      </c>
      <c r="C52" s="8" t="n">
        <v>800</v>
      </c>
      <c r="D52" s="2"/>
      <c r="E52" s="2"/>
      <c r="F52" s="9" t="s">
        <v>84</v>
      </c>
    </row>
    <row r="53" customFormat="false" ht="17.15" hidden="false" customHeight="false" outlineLevel="0" collapsed="false">
      <c r="A53" s="12" t="s">
        <v>85</v>
      </c>
      <c r="B53" s="17" t="n">
        <v>3</v>
      </c>
      <c r="C53" s="8" t="n">
        <v>2000</v>
      </c>
      <c r="D53" s="2"/>
      <c r="E53" s="2"/>
      <c r="F53" s="9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</row>
    <row r="55" customFormat="false" ht="17.15" hidden="false" customHeight="false" outlineLevel="0" collapsed="false">
      <c r="A55" s="4" t="s">
        <v>86</v>
      </c>
      <c r="B55" s="5"/>
      <c r="C55" s="5"/>
      <c r="D55" s="5"/>
      <c r="E55" s="5"/>
      <c r="F55" s="5"/>
    </row>
    <row r="56" customFormat="false" ht="17.15" hidden="false" customHeight="false" outlineLevel="0" collapsed="false">
      <c r="A56" s="6" t="s">
        <v>87</v>
      </c>
      <c r="B56" s="6" t="s">
        <v>88</v>
      </c>
      <c r="C56" s="6" t="s">
        <v>89</v>
      </c>
      <c r="D56" s="6"/>
      <c r="E56" s="6"/>
      <c r="F56" s="6" t="s">
        <v>90</v>
      </c>
    </row>
    <row r="57" customFormat="false" ht="15" hidden="false" customHeight="false" outlineLevel="0" collapsed="false">
      <c r="A57" s="9" t="n">
        <v>1</v>
      </c>
      <c r="B57" s="17" t="n">
        <v>0</v>
      </c>
      <c r="C57" s="17" t="n">
        <v>3</v>
      </c>
      <c r="D57" s="2"/>
      <c r="E57" s="2"/>
      <c r="F57" s="9" t="s">
        <v>91</v>
      </c>
    </row>
    <row r="58" customFormat="false" ht="15" hidden="false" customHeight="false" outlineLevel="0" collapsed="false">
      <c r="A58" s="9" t="n">
        <v>2</v>
      </c>
      <c r="B58" s="17" t="n">
        <v>100</v>
      </c>
      <c r="C58" s="17" t="n">
        <v>4</v>
      </c>
      <c r="D58" s="2"/>
      <c r="E58" s="2"/>
      <c r="F58" s="9" t="s">
        <v>92</v>
      </c>
    </row>
    <row r="59" customFormat="false" ht="15" hidden="false" customHeight="false" outlineLevel="0" collapsed="false">
      <c r="A59" s="9" t="n">
        <v>3</v>
      </c>
      <c r="B59" s="17" t="n">
        <v>250</v>
      </c>
      <c r="C59" s="17" t="n">
        <v>5</v>
      </c>
      <c r="D59" s="2"/>
      <c r="E59" s="2"/>
      <c r="F59" s="9"/>
    </row>
    <row r="60" customFormat="false" ht="15" hidden="false" customHeight="false" outlineLevel="0" collapsed="false">
      <c r="A60" s="9" t="n">
        <v>4</v>
      </c>
      <c r="B60" s="17" t="n">
        <v>450</v>
      </c>
      <c r="C60" s="17" t="n">
        <v>6</v>
      </c>
      <c r="D60" s="2"/>
      <c r="E60" s="2"/>
      <c r="F60" s="9"/>
    </row>
    <row r="61" customFormat="false" ht="17.15" hidden="false" customHeight="false" outlineLevel="0" collapsed="false">
      <c r="A61" s="9" t="n">
        <v>5</v>
      </c>
      <c r="B61" s="17" t="n">
        <v>700</v>
      </c>
      <c r="C61" s="17" t="n">
        <v>8</v>
      </c>
      <c r="D61" s="2"/>
      <c r="E61" s="2"/>
      <c r="F61" s="12" t="s">
        <v>93</v>
      </c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</row>
    <row r="63" customFormat="false" ht="15" hidden="false" customHeight="false" outlineLevel="0" collapsed="false">
      <c r="A63" s="4" t="s">
        <v>94</v>
      </c>
      <c r="B63" s="5"/>
      <c r="C63" s="5"/>
      <c r="D63" s="5"/>
      <c r="E63" s="5"/>
      <c r="F63" s="5"/>
    </row>
    <row r="64" customFormat="false" ht="17.15" hidden="false" customHeight="false" outlineLevel="0" collapsed="false">
      <c r="A64" s="6" t="s">
        <v>95</v>
      </c>
      <c r="B64" s="6" t="s">
        <v>96</v>
      </c>
      <c r="C64" s="6" t="s">
        <v>97</v>
      </c>
      <c r="D64" s="6" t="s">
        <v>98</v>
      </c>
      <c r="E64" s="6"/>
      <c r="F64" s="6" t="s">
        <v>18</v>
      </c>
    </row>
    <row r="65" customFormat="false" ht="15" hidden="false" customHeight="false" outlineLevel="0" collapsed="false">
      <c r="A65" s="7" t="s">
        <v>99</v>
      </c>
      <c r="B65" s="9" t="s">
        <v>100</v>
      </c>
      <c r="C65" s="9" t="s">
        <v>11</v>
      </c>
      <c r="D65" s="12" t="s">
        <v>101</v>
      </c>
      <c r="E65" s="2"/>
      <c r="F65" s="9" t="s">
        <v>102</v>
      </c>
    </row>
    <row r="66" customFormat="false" ht="15" hidden="false" customHeight="false" outlineLevel="0" collapsed="false">
      <c r="A66" s="7" t="s">
        <v>103</v>
      </c>
      <c r="B66" s="9" t="s">
        <v>100</v>
      </c>
      <c r="C66" s="9" t="s">
        <v>9</v>
      </c>
      <c r="D66" s="12" t="s">
        <v>101</v>
      </c>
      <c r="E66" s="2"/>
      <c r="F66" s="9"/>
    </row>
    <row r="67" customFormat="false" ht="17.15" hidden="false" customHeight="false" outlineLevel="0" collapsed="false">
      <c r="A67" s="7" t="s">
        <v>104</v>
      </c>
      <c r="B67" s="9" t="s">
        <v>100</v>
      </c>
      <c r="C67" s="9" t="s">
        <v>13</v>
      </c>
      <c r="D67" s="17" t="n">
        <v>0.7</v>
      </c>
      <c r="E67" s="2"/>
      <c r="F67" s="9" t="s">
        <v>105</v>
      </c>
    </row>
    <row r="68" customFormat="false" ht="17.15" hidden="false" customHeight="false" outlineLevel="0" collapsed="false">
      <c r="A68" s="7" t="s">
        <v>106</v>
      </c>
      <c r="B68" s="9" t="s">
        <v>100</v>
      </c>
      <c r="C68" s="9" t="s">
        <v>9</v>
      </c>
      <c r="D68" s="17" t="n">
        <v>1.5</v>
      </c>
      <c r="E68" s="2"/>
      <c r="F68" s="9" t="s">
        <v>107</v>
      </c>
    </row>
    <row r="69" customFormat="false" ht="17.15" hidden="false" customHeight="false" outlineLevel="0" collapsed="false">
      <c r="A69" s="7" t="s">
        <v>108</v>
      </c>
      <c r="B69" s="9" t="s">
        <v>100</v>
      </c>
      <c r="C69" s="9" t="s">
        <v>11</v>
      </c>
      <c r="D69" s="17" t="n">
        <v>2</v>
      </c>
      <c r="E69" s="2"/>
      <c r="F69" s="9" t="s">
        <v>109</v>
      </c>
    </row>
    <row r="70" customFormat="false" ht="17.15" hidden="false" customHeight="false" outlineLevel="0" collapsed="false">
      <c r="A70" s="7" t="s">
        <v>110</v>
      </c>
      <c r="B70" s="9" t="s">
        <v>111</v>
      </c>
      <c r="C70" s="12" t="s">
        <v>101</v>
      </c>
      <c r="D70" s="17" t="n">
        <v>0.1</v>
      </c>
      <c r="E70" s="2"/>
      <c r="F70" s="9" t="s">
        <v>112</v>
      </c>
    </row>
    <row r="71" customFormat="false" ht="17.15" hidden="false" customHeight="false" outlineLevel="0" collapsed="false">
      <c r="A71" s="7" t="s">
        <v>113</v>
      </c>
      <c r="B71" s="9" t="s">
        <v>111</v>
      </c>
      <c r="C71" s="12" t="s">
        <v>101</v>
      </c>
      <c r="D71" s="17" t="n">
        <v>10</v>
      </c>
      <c r="E71" s="2"/>
      <c r="F71" s="9" t="s">
        <v>114</v>
      </c>
    </row>
    <row r="72" customFormat="false" ht="17.15" hidden="false" customHeight="false" outlineLevel="0" collapsed="false">
      <c r="A72" s="7" t="s">
        <v>115</v>
      </c>
      <c r="B72" s="9" t="s">
        <v>116</v>
      </c>
      <c r="C72" s="12" t="s">
        <v>101</v>
      </c>
      <c r="D72" s="17" t="n">
        <v>40</v>
      </c>
      <c r="E72" s="2"/>
      <c r="F72" s="9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118</v>
      </c>
      <c r="B1" s="2"/>
      <c r="C1" s="2"/>
      <c r="D1" s="2"/>
      <c r="E1" s="2"/>
      <c r="F1" s="2"/>
      <c r="G1" s="2"/>
      <c r="H1" s="2"/>
      <c r="I1" s="2"/>
    </row>
    <row r="2" customFormat="false" ht="17.15" hidden="false" customHeight="false" outlineLevel="0" collapsed="false">
      <c r="A2" s="3" t="s">
        <v>119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7.15" hidden="false" customHeight="false" outlineLevel="0" collapsed="false">
      <c r="A4" s="6" t="s">
        <v>3</v>
      </c>
      <c r="B4" s="6" t="s">
        <v>4</v>
      </c>
      <c r="C4" s="18" t="s">
        <v>120</v>
      </c>
      <c r="D4" s="6" t="s">
        <v>121</v>
      </c>
      <c r="E4" s="6" t="s">
        <v>122</v>
      </c>
      <c r="F4" s="6" t="s">
        <v>123</v>
      </c>
      <c r="G4" s="6" t="s">
        <v>124</v>
      </c>
      <c r="H4" s="6" t="s">
        <v>125</v>
      </c>
      <c r="I4" s="6" t="s">
        <v>126</v>
      </c>
    </row>
    <row r="5" customFormat="false" ht="15" hidden="false" customHeight="false" outlineLevel="0" collapsed="false">
      <c r="A5" s="19" t="str">
        <f aca="false">설정값!A6</f>
        <v>편의점</v>
      </c>
      <c r="B5" s="20" t="n">
        <f aca="false">설정값!B6</f>
        <v>30</v>
      </c>
      <c r="C5" s="20" t="n">
        <f aca="false">설정값!C6</f>
        <v>30</v>
      </c>
      <c r="D5" s="21" t="n">
        <f aca="false">C5/(B5/60)</f>
        <v>60</v>
      </c>
      <c r="E5" s="22" t="n">
        <f aca="false">C5*(1+설정값!$B$12)</f>
        <v>45</v>
      </c>
      <c r="F5" s="21" t="n">
        <f aca="false">E5/(B5/60)</f>
        <v>90</v>
      </c>
      <c r="G5" s="22" t="n">
        <f aca="false">C5*(1-설정값!$B$15)</f>
        <v>21</v>
      </c>
      <c r="H5" s="14" t="n">
        <f aca="false">INT((설정값!$B$16-1)/설정값!D6)+1</f>
        <v>6</v>
      </c>
      <c r="I5" s="23" t="n">
        <f aca="false">설정값!D6/C5</f>
        <v>0.5</v>
      </c>
    </row>
    <row r="6" customFormat="false" ht="15" hidden="false" customHeight="false" outlineLevel="0" collapsed="false">
      <c r="A6" s="19" t="str">
        <f aca="false">설정값!A7</f>
        <v>회사</v>
      </c>
      <c r="B6" s="20" t="n">
        <f aca="false">설정값!B7</f>
        <v>120</v>
      </c>
      <c r="C6" s="20" t="n">
        <f aca="false">설정값!C7</f>
        <v>100</v>
      </c>
      <c r="D6" s="21" t="n">
        <f aca="false">C6/(B6/60)</f>
        <v>50</v>
      </c>
      <c r="E6" s="22" t="n">
        <f aca="false">C6*(1+설정값!$B$12)</f>
        <v>150</v>
      </c>
      <c r="F6" s="21" t="n">
        <f aca="false">E6/(B6/60)</f>
        <v>75</v>
      </c>
      <c r="G6" s="22" t="n">
        <f aca="false">C6*(1-설정값!$B$15)</f>
        <v>70</v>
      </c>
      <c r="H6" s="14" t="n">
        <f aca="false">INT((설정값!$B$16-1)/설정값!D7)+1</f>
        <v>3</v>
      </c>
      <c r="I6" s="23" t="n">
        <f aca="false">설정값!D7/C6</f>
        <v>0.3</v>
      </c>
    </row>
    <row r="7" customFormat="false" ht="15" hidden="false" customHeight="false" outlineLevel="0" collapsed="false">
      <c r="A7" s="19" t="str">
        <f aca="false">설정값!A8</f>
        <v>공사장</v>
      </c>
      <c r="B7" s="20" t="n">
        <f aca="false">설정값!B8</f>
        <v>480</v>
      </c>
      <c r="C7" s="20" t="n">
        <f aca="false">설정값!C8</f>
        <v>300</v>
      </c>
      <c r="D7" s="21" t="n">
        <f aca="false">C7/(B7/60)</f>
        <v>37.5</v>
      </c>
      <c r="E7" s="22" t="n">
        <f aca="false">C7*(1+설정값!$B$12)</f>
        <v>450</v>
      </c>
      <c r="F7" s="21" t="n">
        <f aca="false">E7/(B7/60)</f>
        <v>56.25</v>
      </c>
      <c r="G7" s="22" t="n">
        <f aca="false">C7*(1-설정값!$B$15)</f>
        <v>210</v>
      </c>
      <c r="H7" s="14" t="n">
        <f aca="false">INT((설정값!$B$16-1)/설정값!D8)+1</f>
        <v>2</v>
      </c>
      <c r="I7" s="23" t="n">
        <f aca="false">설정값!D8/C7</f>
        <v>0.2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</row>
    <row r="9" customFormat="false" ht="17.15" hidden="false" customHeight="false" outlineLevel="0" collapsed="false">
      <c r="A9" s="3" t="s">
        <v>127</v>
      </c>
      <c r="B9" s="2"/>
      <c r="C9" s="2"/>
      <c r="D9" s="2"/>
      <c r="E9" s="2"/>
      <c r="F9" s="2"/>
      <c r="G9" s="2"/>
      <c r="H9" s="2"/>
      <c r="I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128</v>
      </c>
      <c r="B1" s="2"/>
      <c r="C1" s="2"/>
      <c r="D1" s="2"/>
      <c r="E1" s="2"/>
    </row>
    <row r="2" customFormat="false" ht="17.15" hidden="false" customHeight="false" outlineLevel="0" collapsed="false">
      <c r="A2" s="3" t="s">
        <v>129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7.15" hidden="false" customHeight="false" outlineLevel="0" collapsed="false">
      <c r="A4" s="6" t="s">
        <v>16</v>
      </c>
      <c r="B4" s="6" t="s">
        <v>130</v>
      </c>
      <c r="C4" s="6" t="s">
        <v>131</v>
      </c>
      <c r="D4" s="6" t="s">
        <v>132</v>
      </c>
      <c r="E4" s="6" t="s">
        <v>18</v>
      </c>
    </row>
    <row r="5" customFormat="false" ht="17.15" hidden="false" customHeight="false" outlineLevel="0" collapsed="false">
      <c r="A5" s="9" t="s">
        <v>133</v>
      </c>
      <c r="B5" s="11" t="n">
        <v>4</v>
      </c>
      <c r="C5" s="11" t="n">
        <v>6</v>
      </c>
      <c r="D5" s="11" t="n">
        <v>0</v>
      </c>
      <c r="E5" s="12" t="s">
        <v>134</v>
      </c>
    </row>
    <row r="6" customFormat="false" ht="17.15" hidden="false" customHeight="false" outlineLevel="0" collapsed="false">
      <c r="A6" s="9" t="s">
        <v>135</v>
      </c>
      <c r="B6" s="11" t="n">
        <v>1</v>
      </c>
      <c r="C6" s="11" t="n">
        <v>3</v>
      </c>
      <c r="D6" s="11" t="n">
        <v>1</v>
      </c>
      <c r="E6" s="9" t="s">
        <v>136</v>
      </c>
    </row>
    <row r="7" customFormat="false" ht="17.15" hidden="false" customHeight="false" outlineLevel="0" collapsed="false">
      <c r="A7" s="9" t="s">
        <v>137</v>
      </c>
      <c r="B7" s="11" t="n">
        <v>1</v>
      </c>
      <c r="C7" s="11" t="n">
        <v>1</v>
      </c>
      <c r="D7" s="11" t="n">
        <v>2</v>
      </c>
      <c r="E7" s="9" t="s">
        <v>138</v>
      </c>
    </row>
    <row r="8" customFormat="false" ht="15" hidden="false" customHeight="false" outlineLevel="0" collapsed="false">
      <c r="A8" s="9" t="s">
        <v>139</v>
      </c>
      <c r="B8" s="10" t="n">
        <v>0.5</v>
      </c>
      <c r="C8" s="10" t="n">
        <v>0.5</v>
      </c>
      <c r="D8" s="10" t="n">
        <v>0.5</v>
      </c>
      <c r="E8" s="9" t="s">
        <v>140</v>
      </c>
    </row>
    <row r="9" customFormat="false" ht="17.15" hidden="false" customHeight="false" outlineLevel="0" collapsed="false">
      <c r="A9" s="7" t="s">
        <v>141</v>
      </c>
      <c r="B9" s="22" t="n">
        <f aca="false">(B5*설정값!$C$6+B6*설정값!$C$7+B7*설정값!$C$8)*(1+설정값!$B$12*B8)</f>
        <v>650</v>
      </c>
      <c r="C9" s="22" t="n">
        <f aca="false">(C5*설정값!$C$6+C6*설정값!$C$7+C7*설정값!$C$8)*(1+설정값!$B$12*C8)</f>
        <v>975</v>
      </c>
      <c r="D9" s="22" t="n">
        <f aca="false">(D5*설정값!$C$6+D6*설정값!$C$7+D7*설정값!$C$8)*(1+설정값!$B$12*D8)</f>
        <v>875</v>
      </c>
      <c r="E9" s="9" t="s">
        <v>142</v>
      </c>
    </row>
    <row r="10" customFormat="false" ht="17.15" hidden="false" customHeight="false" outlineLevel="0" collapsed="false">
      <c r="A10" s="7" t="s">
        <v>143</v>
      </c>
      <c r="B10" s="24" t="n">
        <f aca="false">B9/설정값!$B$39</f>
        <v>2.16666666666667</v>
      </c>
      <c r="C10" s="24" t="n">
        <f aca="false">C9/설정값!$B$39</f>
        <v>3.25</v>
      </c>
      <c r="D10" s="24" t="n">
        <f aca="false">D9/설정값!$B$39</f>
        <v>2.91666666666667</v>
      </c>
      <c r="E10" s="9"/>
    </row>
    <row r="11" customFormat="false" ht="17.15" hidden="false" customHeight="false" outlineLevel="0" collapsed="false">
      <c r="A11" s="7" t="s">
        <v>144</v>
      </c>
      <c r="B11" s="25" t="n">
        <f aca="false">B10+설정값!$B$46</f>
        <v>3.16666666666667</v>
      </c>
      <c r="C11" s="25" t="n">
        <f aca="false">C10+설정값!$B$46</f>
        <v>4.25</v>
      </c>
      <c r="D11" s="25" t="n">
        <f aca="false">D10+설정값!$B$46</f>
        <v>3.91666666666667</v>
      </c>
      <c r="E11" s="9" t="s">
        <v>145</v>
      </c>
    </row>
    <row r="12" customFormat="false" ht="15" hidden="false" customHeight="false" outlineLevel="0" collapsed="false">
      <c r="A12" s="7" t="s">
        <v>146</v>
      </c>
      <c r="B12" s="24" t="n">
        <f aca="false">(1/설정값!$B$41)/B11</f>
        <v>2.42914979757085</v>
      </c>
      <c r="C12" s="24" t="n">
        <f aca="false">(1/설정값!$B$41)/C11</f>
        <v>1.80995475113122</v>
      </c>
      <c r="D12" s="24" t="n">
        <f aca="false">(1/설정값!$B$41)/D11</f>
        <v>1.96399345335516</v>
      </c>
      <c r="E12" s="9" t="s">
        <v>147</v>
      </c>
    </row>
    <row r="13" customFormat="false" ht="17.15" hidden="false" customHeight="false" outlineLevel="0" collapsed="false">
      <c r="A13" s="7" t="s">
        <v>148</v>
      </c>
      <c r="B13" s="25" t="n">
        <f aca="false">((1-(1-설정값!$B$42)^설정값!$B$44)/설정값!$B$42)/B11</f>
        <v>10.0394261038876</v>
      </c>
      <c r="C13" s="25" t="n">
        <f aca="false">((1-(1-설정값!$B$42)^설정값!$B$44)/설정값!$B$42)/C11</f>
        <v>7.48035670485745</v>
      </c>
      <c r="D13" s="25" t="n">
        <f aca="false">((1-(1-설정값!$B$42)^설정값!$B$44)/설정값!$B$42)/D11</f>
        <v>8.11698280739851</v>
      </c>
      <c r="E13" s="9" t="s">
        <v>149</v>
      </c>
    </row>
    <row r="14" customFormat="false" ht="17.15" hidden="false" customHeight="false" outlineLevel="0" collapsed="false">
      <c r="A14" s="7" t="s">
        <v>150</v>
      </c>
      <c r="B14" s="25" t="n">
        <f aca="false">설정값!$B$44/B11</f>
        <v>15.7894736842105</v>
      </c>
      <c r="C14" s="25" t="n">
        <f aca="false">설정값!$B$44/C11</f>
        <v>11.7647058823529</v>
      </c>
      <c r="D14" s="25" t="n">
        <f aca="false">설정값!$B$44/D11</f>
        <v>12.7659574468085</v>
      </c>
      <c r="E14" s="9" t="s">
        <v>151</v>
      </c>
    </row>
    <row r="15" customFormat="false" ht="17.15" hidden="false" customHeight="false" outlineLevel="0" collapsed="false">
      <c r="A15" s="26" t="s">
        <v>152</v>
      </c>
      <c r="B15" s="24" t="n">
        <f aca="false">B14</f>
        <v>15.7894736842105</v>
      </c>
      <c r="C15" s="24" t="n">
        <f aca="false">C14</f>
        <v>11.7647058823529</v>
      </c>
      <c r="D15" s="24" t="n">
        <f aca="false">D14</f>
        <v>12.7659574468085</v>
      </c>
      <c r="E15" s="9" t="s">
        <v>153</v>
      </c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7.15" hidden="false" customHeight="false" outlineLevel="0" collapsed="false">
      <c r="A17" s="3" t="s">
        <v>154</v>
      </c>
      <c r="B17" s="2"/>
      <c r="C17" s="2"/>
      <c r="D17" s="2"/>
      <c r="E17" s="2"/>
    </row>
    <row r="18" customFormat="false" ht="17.15" hidden="false" customHeight="false" outlineLevel="0" collapsed="false">
      <c r="A18" s="3" t="s">
        <v>155</v>
      </c>
      <c r="B18" s="2"/>
      <c r="C18" s="2"/>
      <c r="D18" s="2"/>
      <c r="E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2026-10-08T14:29:15Z</dcterms:created>
  <dc:creator>openpyxl</dc:creator>
  <dc:description/>
  <dc:language>en-US</dc:language>
  <cp:lastModifiedBy/>
  <dcterms:modified xsi:type="dcterms:W3CDTF">2026-10-08T14:29:15Z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